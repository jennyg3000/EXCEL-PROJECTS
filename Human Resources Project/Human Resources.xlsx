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justit831.sharepoint.com/sites/msteams_7a877e/Class Materials/Week 1 Introduction to Data Analysis and Excel/Day 4/"/>
    </mc:Choice>
  </mc:AlternateContent>
  <xr:revisionPtr revIDLastSave="279" documentId="8_{244C8E35-DAB8-414E-8848-0040370C00FC}" xr6:coauthVersionLast="47" xr6:coauthVersionMax="47" xr10:uidLastSave="{4C1B1FD5-1ED4-4069-BADA-974649F40B9D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namesales">'Headcount &amp; Salaries'!$D$4:$D$4</definedName>
    <definedName name="Salary">'Headcount &amp; Salaries'!$A$4:$D$17</definedName>
    <definedName name="salename">'Headcount &amp; Salaries'!$D$4:$D$8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 a="1"/>
  <c r="F10" i="3"/>
  <c r="F4" i="3" a="1"/>
  <c r="F4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F20" i="3" l="1" a="1"/>
  <c r="F20" i="3" s="1"/>
  <c r="B2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<sst xmlns="http://schemas.openxmlformats.org/spreadsheetml/2006/main" count="94" uniqueCount="43">
  <si>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</si>
  <si>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</si>
  <si>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</si>
  <si>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</si>
  <si>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</si>
  <si>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</si>
  <si>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</si>
  <si>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</si>
  <si>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</si>
  <si>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</si>
  <si>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</si>
  <si>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</si>
  <si>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</si>
  <si>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</si>
  <si>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</si>
  <si>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</si>
  <si>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</si>
  <si>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</si>
  <si>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</si>
  <si>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</si>
  <si>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</si>
  <si>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</si>
  <si>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</si>
  <si>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</si>
  <si>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</si>
  <si>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</si>
  <si>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</si>
  <si>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</si>
  <si>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</si>
  <si>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</si>
  <si>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Link to HMRC website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</si>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</sst>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5" fontId="0" fillId="0" borderId="0" xfId="1" applyNumberFormat="1" applyFont="1"/>
    <xf numFmtId="0" fontId="6" fillId="0" borderId="5" xfId="8"/>
    <xf numFmtId="165" fontId="6" fillId="0" borderId="5" xfId="8" applyNumberFormat="1"/>
    <xf numFmtId="0" fontId="3" fillId="0" borderId="0" xfId="3" applyBorder="1"/>
    <xf numFmtId="9" fontId="5" fillId="0" borderId="0" xfId="6" applyNumberFormat="1"/>
    <xf numFmtId="164" fontId="0" fillId="0" borderId="0" xfId="1" applyFont="1"/>
    <xf numFmtId="164" fontId="6" fillId="0" borderId="5" xfId="8" applyNumberFormat="1"/>
    <xf numFmtId="0" fontId="6" fillId="0" borderId="0" xfId="0" applyFont="1"/>
    <xf numFmtId="164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4" fontId="0" fillId="0" borderId="0" xfId="0" applyNumberFormat="1"/>
    <xf numFmtId="14" fontId="0" fillId="0" borderId="0" xfId="0" applyNumberFormat="1"/>
    <xf numFmtId="0" fontId="5" fillId="0" borderId="0" xfId="5" applyBorder="1"/>
    <xf numFmtId="22" fontId="0" fillId="0" borderId="0" xfId="0" applyNumberFormat="1"/>
    <xf numFmtId="0" fontId="0" fillId="0" borderId="0" xfId="0" applyAlignment="1">
      <alignment horizontal="left"/>
    </xf>
  </cellXfs>
  <cellStyles count="10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16" workbookViewId="0">
      <selection activeCell="B5" sqref="B5"/>
    </sheetView>
  </sheetViews>
  <sheetFormatPr defaultRowHeight="15"/>
  <cols>
    <col min="1" max="1" width="16.7109375" bestFit="1" customWidth="1"/>
    <col min="2" max="11" width="8.140625" bestFit="1" customWidth="1"/>
    <col min="12" max="14" width="7.7109375" customWidth="1"/>
    <col min="15" max="15" width="9.71093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8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8" ht="15.75" thickTop="1"/>
    <row r="19" spans="1:18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8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8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8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8" ht="15.75" thickBot="1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  <c r="P23" s="20"/>
      <c r="Q23" s="20"/>
      <c r="R23" s="20"/>
    </row>
    <row r="24" spans="1:18" ht="15.75" thickTop="1">
      <c r="B24" s="11"/>
      <c r="O24" s="20"/>
    </row>
    <row r="25" spans="1:18">
      <c r="A25" s="13"/>
      <c r="B25" s="14"/>
    </row>
    <row r="26" spans="1:18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</sheetData>
  <sheetProtection algorithmName="SHA-512" hashValue="qZ6CNzj6zs7KER7yYiPVWvGbIeAFAr06Kxo6cWAoW1UUDXaLvIGeqkCZuUrQwIZGSQJu4x8AOuJ/iDr8BQujrQ==" saltValue="nXPSOesjAhJXUDIX8FhNlA==" spinCount="100000" sheet="1" objects="1" scenarios="1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topLeftCell="A15" workbookViewId="0">
      <selection activeCell="H1" sqref="H1:H1048576"/>
    </sheetView>
  </sheetViews>
  <sheetFormatPr defaultRowHeight="15"/>
  <cols>
    <col min="1" max="1" width="36.7109375" bestFit="1" customWidth="1"/>
    <col min="2" max="2" width="9.140625" bestFit="1" customWidth="1"/>
    <col min="3" max="3" width="10.85546875" bestFit="1" customWidth="1"/>
    <col min="4" max="4" width="13.7109375" bestFit="1" customWidth="1"/>
    <col min="5" max="5" width="12.85546875" bestFit="1" customWidth="1"/>
    <col min="6" max="6" width="20.5703125" bestFit="1" customWidth="1"/>
    <col min="7" max="7" width="11.5703125" customWidth="1"/>
    <col min="8" max="8" width="11.140625" bestFit="1" customWidth="1"/>
    <col min="9" max="9" width="10.140625" customWidth="1"/>
    <col min="10" max="10" width="7.7109375" bestFit="1" customWidth="1"/>
    <col min="11" max="11" width="8.42578125" bestFit="1" customWidth="1"/>
  </cols>
  <sheetData>
    <row r="1" spans="1:10" ht="23.25">
      <c r="A1" s="1" t="s">
        <v>29</v>
      </c>
      <c r="E1" s="19"/>
    </row>
    <row r="2" spans="1:10">
      <c r="E2" s="19"/>
      <c r="F2" s="19" t="s">
        <v>30</v>
      </c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5</v>
      </c>
      <c r="B4" t="s">
        <v>35</v>
      </c>
      <c r="C4" s="6">
        <v>37864</v>
      </c>
      <c r="D4" t="s">
        <v>36</v>
      </c>
      <c r="F4" s="22" t="str" cm="1">
        <f t="array" ref="F4:F8">salename</f>
        <v>Sales</v>
      </c>
      <c r="G4" s="22"/>
    </row>
    <row r="5" spans="1:10">
      <c r="A5" t="s">
        <v>6</v>
      </c>
      <c r="B5" t="s">
        <v>35</v>
      </c>
      <c r="C5" s="6">
        <v>26148</v>
      </c>
      <c r="D5" t="s">
        <v>37</v>
      </c>
      <c r="F5" s="22" t="str">
        <v>Purchasing</v>
      </c>
      <c r="G5" s="22"/>
    </row>
    <row r="6" spans="1:10">
      <c r="A6" t="s">
        <v>7</v>
      </c>
      <c r="B6" t="s">
        <v>38</v>
      </c>
      <c r="C6" s="6">
        <v>26345</v>
      </c>
      <c r="D6" t="s">
        <v>39</v>
      </c>
      <c r="F6" s="22" t="str">
        <v>Logistics</v>
      </c>
      <c r="G6" s="22"/>
    </row>
    <row r="7" spans="1:10">
      <c r="A7" t="s">
        <v>8</v>
      </c>
      <c r="B7" t="s">
        <v>38</v>
      </c>
      <c r="C7" s="6">
        <v>23562</v>
      </c>
      <c r="D7" t="s">
        <v>36</v>
      </c>
      <c r="F7" t="str">
        <v>Sales</v>
      </c>
    </row>
    <row r="8" spans="1:10">
      <c r="A8" t="s">
        <v>9</v>
      </c>
      <c r="B8" t="s">
        <v>35</v>
      </c>
      <c r="C8" s="6">
        <v>19888</v>
      </c>
      <c r="D8" t="s">
        <v>39</v>
      </c>
      <c r="F8" t="str">
        <v>Logistics</v>
      </c>
    </row>
    <row r="9" spans="1:10">
      <c r="A9" t="s">
        <v>10</v>
      </c>
      <c r="B9" t="s">
        <v>35</v>
      </c>
      <c r="C9" s="6">
        <v>32918</v>
      </c>
      <c r="D9" t="s">
        <v>37</v>
      </c>
    </row>
    <row r="10" spans="1:10">
      <c r="A10" t="s">
        <v>11</v>
      </c>
      <c r="B10" t="s">
        <v>35</v>
      </c>
      <c r="C10" s="6">
        <v>18931</v>
      </c>
      <c r="D10" t="s">
        <v>36</v>
      </c>
      <c r="F10" t="str" cm="1">
        <f t="array" ref="F10">namesales</f>
        <v>Sales</v>
      </c>
    </row>
    <row r="11" spans="1:10">
      <c r="A11" t="s">
        <v>12</v>
      </c>
      <c r="B11" t="s">
        <v>35</v>
      </c>
      <c r="C11" s="6">
        <v>32829</v>
      </c>
      <c r="D11" t="s">
        <v>36</v>
      </c>
    </row>
    <row r="12" spans="1:10">
      <c r="A12" t="s">
        <v>13</v>
      </c>
      <c r="B12" t="s">
        <v>35</v>
      </c>
      <c r="C12" s="6">
        <v>38296</v>
      </c>
      <c r="D12" t="s">
        <v>37</v>
      </c>
    </row>
    <row r="13" spans="1:10">
      <c r="A13" t="s">
        <v>14</v>
      </c>
      <c r="B13" t="s">
        <v>38</v>
      </c>
      <c r="C13" s="6">
        <v>28554</v>
      </c>
      <c r="D13" t="s">
        <v>36</v>
      </c>
      <c r="J13" s="23"/>
    </row>
    <row r="14" spans="1:10">
      <c r="A14" t="s">
        <v>15</v>
      </c>
      <c r="B14" t="s">
        <v>35</v>
      </c>
      <c r="C14" s="6">
        <v>27368</v>
      </c>
      <c r="D14" t="s">
        <v>39</v>
      </c>
      <c r="J14" s="21"/>
    </row>
    <row r="15" spans="1:10">
      <c r="A15" t="s">
        <v>16</v>
      </c>
      <c r="B15" t="s">
        <v>38</v>
      </c>
      <c r="C15" s="6">
        <v>20850</v>
      </c>
      <c r="D15" t="s">
        <v>37</v>
      </c>
    </row>
    <row r="16" spans="1:10">
      <c r="A16" t="s">
        <v>17</v>
      </c>
      <c r="B16" t="s">
        <v>35</v>
      </c>
      <c r="C16" s="6">
        <v>19345</v>
      </c>
      <c r="D16" t="s">
        <v>37</v>
      </c>
    </row>
    <row r="17" spans="1:10">
      <c r="A17" t="s">
        <v>18</v>
      </c>
      <c r="B17" t="s">
        <v>38</v>
      </c>
      <c r="C17" s="6">
        <v>38158</v>
      </c>
      <c r="D17" t="s">
        <v>36</v>
      </c>
    </row>
    <row r="18" spans="1:10">
      <c r="A18" s="7" t="s">
        <v>26</v>
      </c>
      <c r="B18" s="7"/>
      <c r="C18" s="8">
        <f>SUM(C4:C17)</f>
        <v>391056</v>
      </c>
      <c r="D18" s="7"/>
    </row>
    <row r="20" spans="1:10">
      <c r="A20" s="3" t="s">
        <v>34</v>
      </c>
      <c r="B20" s="3" t="s">
        <v>33</v>
      </c>
      <c r="C20" s="3" t="s">
        <v>40</v>
      </c>
      <c r="F20" t="str" cm="1">
        <f t="array" ref="F20:J22">TRANSPOSE(A20:C24)</f>
        <v>Department</v>
      </c>
      <c r="G20" s="24" t="str">
        <v>Sales</v>
      </c>
      <c r="H20" s="24" t="str">
        <v>Purchasing</v>
      </c>
      <c r="I20" s="24" t="str">
        <v>Logistics</v>
      </c>
      <c r="J20" s="24" t="str">
        <v>Total:</v>
      </c>
    </row>
    <row r="21" spans="1:10">
      <c r="A21" t="s">
        <v>36</v>
      </c>
      <c r="B21" s="6">
        <f>SUMIF($D$4:$D$17,A21,$C$4:$C$17)</f>
        <v>179898</v>
      </c>
      <c r="C21">
        <f>COUNTIF($D$4:$D$17,A21)</f>
        <v>6</v>
      </c>
      <c r="F21" t="str">
        <v>Salary</v>
      </c>
      <c r="G21">
        <v>179898</v>
      </c>
      <c r="H21">
        <v>137557</v>
      </c>
      <c r="I21">
        <v>73601</v>
      </c>
      <c r="J21">
        <v>391056</v>
      </c>
    </row>
    <row r="22" spans="1:10">
      <c r="A22" t="s">
        <v>37</v>
      </c>
      <c r="B22" s="6">
        <f t="shared" ref="B22:B23" si="0">SUMIF($D$4:$D$17,A22,$C$4:$C$17)</f>
        <v>137557</v>
      </c>
      <c r="C22">
        <f t="shared" ref="C22:C23" si="1">COUNTIF($D$4:$D$17,A22)</f>
        <v>5</v>
      </c>
      <c r="F22" t="str">
        <v>Headcount</v>
      </c>
      <c r="G22">
        <v>6</v>
      </c>
      <c r="H22">
        <v>5</v>
      </c>
      <c r="I22">
        <v>3</v>
      </c>
      <c r="J22">
        <v>14</v>
      </c>
    </row>
    <row r="23" spans="1:10">
      <c r="A23" t="s">
        <v>39</v>
      </c>
      <c r="B23" s="6">
        <f t="shared" si="0"/>
        <v>73601</v>
      </c>
      <c r="C23">
        <f t="shared" si="1"/>
        <v>3</v>
      </c>
    </row>
    <row r="24" spans="1:10">
      <c r="A24" s="7" t="s">
        <v>41</v>
      </c>
      <c r="B24" s="8">
        <f>SUM(B21:B23)</f>
        <v>391056</v>
      </c>
      <c r="C24" s="8">
        <f>SUM(C21:C23)</f>
        <v>14</v>
      </c>
    </row>
    <row r="26" spans="1:10">
      <c r="A26" s="3" t="s">
        <v>42</v>
      </c>
      <c r="B26" s="3" t="s">
        <v>33</v>
      </c>
      <c r="C26" s="3" t="s">
        <v>40</v>
      </c>
    </row>
    <row r="27" spans="1:10">
      <c r="A27" t="s">
        <v>35</v>
      </c>
      <c r="B27" s="6">
        <f>SUMIF($B$4:$B$17,A27,$C$4:$C$17)</f>
        <v>253587</v>
      </c>
      <c r="C27">
        <f>COUNTIF(B4:B17,A27)</f>
        <v>9</v>
      </c>
    </row>
    <row r="28" spans="1:10">
      <c r="A28" t="s">
        <v>38</v>
      </c>
      <c r="B28" s="6">
        <f>SUMIF($B$4:$B$17,A28,$C$4:$C$17)</f>
        <v>137469</v>
      </c>
      <c r="C28">
        <f>COUNTIF(B5:B17,A28)</f>
        <v>5</v>
      </c>
    </row>
    <row r="29" spans="1:10">
      <c r="A29" s="7" t="s">
        <v>41</v>
      </c>
      <c r="B29" s="8">
        <f>SUM(B27:B28)</f>
        <v>391056</v>
      </c>
      <c r="C29" s="8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3:H21" xr:uid="{B6F972AE-10F7-4D1C-82FA-F2D3CF253F36}">
      <formula1>"Eligible, Not Eligible"</formula1>
    </dataValidation>
  </dataValidations>
  <hyperlinks>
    <hyperlink ref="F2" r:id="rId1" xr:uid="{2570D98F-0DBB-44F2-BADC-359A35FC054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Jenny Guo</cp:lastModifiedBy>
  <cp:revision/>
  <dcterms:created xsi:type="dcterms:W3CDTF">2009-08-25T13:44:58Z</dcterms:created>
  <dcterms:modified xsi:type="dcterms:W3CDTF">2025-11-18T12:18:39Z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