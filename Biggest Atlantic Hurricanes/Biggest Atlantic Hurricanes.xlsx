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actice\Excel 2016 Expert Skills\New Sample files for Sep 2017 Version\Session 3\"/>
    </mc:Choice>
  </mc:AlternateContent>
  <xr:revisionPtr revIDLastSave="65" documentId="11_2779F9B2FCDC5B6E264834899AD3CC78A628D2C5" xr6:coauthVersionLast="47" xr6:coauthVersionMax="47" xr10:uidLastSave="{394D723B-9519-4337-8DFB-CE9395043EC7}"/>
  <bookViews>
    <workbookView xWindow="0" yWindow="0" windowWidth="19155" windowHeight="7080" xr2:uid="{2ACB6078-E7FC-41CF-A5D9-B1E5E9B37327}"/>
  </bookViews>
  <sheets>
    <sheet name="Biggest Atlantic Hurrican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 a="1"/>
  <c r="F4" i="1"/>
  <c r="G27" i="1" a="1"/>
  <c r="G27" i="1"/>
  <c r="G24" i="1" a="1"/>
  <c r="G24" i="1"/>
  <c r="F25" i="1" a="1"/>
  <c r="F25" i="1"/>
  <c r="F26" i="1" a="1"/>
  <c r="F26" i="1"/>
  <c r="F27" i="1" a="1"/>
  <c r="F27" i="1"/>
  <c r="F5" i="1" a="1"/>
  <c r="F5" i="1"/>
  <c r="F6" i="1" a="1"/>
  <c r="F6" i="1"/>
  <c r="F7" i="1" a="1"/>
  <c r="F7" i="1"/>
  <c r="F8" i="1" a="1"/>
  <c r="F8" i="1"/>
  <c r="F9" i="1" a="1"/>
  <c r="F9" i="1"/>
  <c r="F10" i="1" a="1"/>
  <c r="F10" i="1"/>
  <c r="F11" i="1" a="1"/>
  <c r="F11" i="1"/>
  <c r="F12" i="1" a="1"/>
  <c r="F12" i="1"/>
  <c r="F13" i="1" a="1"/>
  <c r="F13" i="1"/>
  <c r="F14" i="1" a="1"/>
  <c r="F14" i="1"/>
  <c r="F15" i="1" a="1"/>
  <c r="F15" i="1"/>
  <c r="F16" i="1" a="1"/>
  <c r="F16" i="1"/>
  <c r="F17" i="1" a="1"/>
  <c r="F17" i="1"/>
  <c r="F18" i="1" a="1"/>
  <c r="F18" i="1"/>
  <c r="F19" i="1" a="1"/>
  <c r="F19" i="1"/>
  <c r="F20" i="1" a="1"/>
  <c r="F20" i="1"/>
  <c r="F21" i="1" a="1"/>
  <c r="F21" i="1"/>
  <c r="F22" i="1" a="1"/>
  <c r="F22" i="1"/>
  <c r="F23" i="1" a="1"/>
  <c r="F23" i="1"/>
  <c r="F24" i="1" a="1"/>
  <c r="F24" i="1"/>
  <c r="G25" i="1" a="1"/>
  <c r="G25" i="1"/>
  <c r="G26" i="1" a="1"/>
  <c r="G26" i="1"/>
  <c r="G5" i="1" a="1"/>
  <c r="G5" i="1"/>
  <c r="G6" i="1" a="1"/>
  <c r="G6" i="1"/>
  <c r="G7" i="1" a="1"/>
  <c r="G7" i="1"/>
  <c r="G8" i="1" a="1"/>
  <c r="G8" i="1"/>
  <c r="G9" i="1" a="1"/>
  <c r="G9" i="1"/>
  <c r="G10" i="1" a="1"/>
  <c r="G10" i="1"/>
  <c r="G11" i="1" a="1"/>
  <c r="G11" i="1"/>
  <c r="G12" i="1" a="1"/>
  <c r="G12" i="1"/>
  <c r="G13" i="1" a="1"/>
  <c r="G13" i="1"/>
  <c r="G14" i="1" a="1"/>
  <c r="G14" i="1"/>
  <c r="G15" i="1" a="1"/>
  <c r="G15" i="1"/>
  <c r="G16" i="1" a="1"/>
  <c r="G16" i="1"/>
  <c r="G17" i="1" a="1"/>
  <c r="G17" i="1"/>
  <c r="G18" i="1" a="1"/>
  <c r="G18" i="1"/>
  <c r="G19" i="1" a="1"/>
  <c r="G19" i="1"/>
  <c r="G20" i="1" a="1"/>
  <c r="G20" i="1"/>
  <c r="G21" i="1" a="1"/>
  <c r="G21" i="1"/>
  <c r="G22" i="1" a="1"/>
  <c r="G22" i="1"/>
  <c r="G23" i="1" a="1"/>
  <c r="G23" i="1"/>
  <c r="G4" i="1" a="1"/>
  <c r="G4" i="1"/>
  <c r="E19" i="1" a="1"/>
  <c r="E19" i="1"/>
  <c r="E20" i="1" a="1"/>
  <c r="E20" i="1"/>
  <c r="E21" i="1" a="1"/>
  <c r="E21" i="1"/>
  <c r="E22" i="1" a="1"/>
  <c r="E22" i="1"/>
  <c r="E23" i="1" a="1"/>
  <c r="E23" i="1"/>
  <c r="E24" i="1" a="1"/>
  <c r="E24" i="1"/>
  <c r="E4" i="1" a="1"/>
  <c r="E4" i="1"/>
  <c r="E5" i="1" a="1"/>
  <c r="E5" i="1"/>
  <c r="E6" i="1" a="1"/>
  <c r="E6" i="1"/>
  <c r="E7" i="1" a="1"/>
  <c r="E7" i="1"/>
  <c r="E8" i="1" a="1"/>
  <c r="E8" i="1"/>
  <c r="E9" i="1" a="1"/>
  <c r="E9" i="1"/>
  <c r="E10" i="1" a="1"/>
  <c r="E10" i="1"/>
  <c r="E11" i="1" a="1"/>
  <c r="E11" i="1"/>
  <c r="E12" i="1" a="1"/>
  <c r="E12" i="1"/>
  <c r="E13" i="1" a="1"/>
  <c r="E13" i="1"/>
  <c r="E14" i="1" a="1"/>
  <c r="E14" i="1"/>
  <c r="E15" i="1" a="1"/>
  <c r="E15" i="1"/>
  <c r="E16" i="1" a="1"/>
  <c r="E16" i="1"/>
  <c r="E17" i="1" a="1"/>
  <c r="E17" i="1"/>
  <c r="E18" i="1" a="1"/>
  <c r="E18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<sst xmlns="http://schemas.openxmlformats.org/spreadsheetml/2006/main" count="54" uniqueCount="54">
  <si>
    <t>Biggest Atlantic Hurricanes</t>
  </si>
  <si>
    <t>Name</t>
  </si>
  <si>
    <t>Start Date</t>
  </si>
  <si>
    <t>Damage 
(USD 
Millions)</t>
  </si>
  <si>
    <t>Category*</t>
  </si>
  <si>
    <t>Max 
Wind 
Speed</t>
  </si>
  <si>
    <t>Switch Value TEST</t>
  </si>
  <si>
    <t>Speed TEST</t>
  </si>
  <si>
    <t>San Marcos</t>
  </si>
  <si>
    <t>October 5, 1870</t>
  </si>
  <si>
    <t>* Saffir-Simpson Category</t>
  </si>
  <si>
    <t>Sea Islands</t>
  </si>
  <si>
    <t>August 15, 1893</t>
  </si>
  <si>
    <t>Hurricane Category</t>
  </si>
  <si>
    <t>Max Wind Speed (mph)</t>
  </si>
  <si>
    <t>Chenier Caminanda</t>
  </si>
  <si>
    <t>September 27, 1893</t>
  </si>
  <si>
    <t>157 and over</t>
  </si>
  <si>
    <t>San Ciriaco</t>
  </si>
  <si>
    <t>August 3, 1899</t>
  </si>
  <si>
    <t>Galveston</t>
  </si>
  <si>
    <t>August 27, 1900</t>
  </si>
  <si>
    <t>Monterrey</t>
  </si>
  <si>
    <t>August 20, 1909</t>
  </si>
  <si>
    <t>Okeechobee</t>
  </si>
  <si>
    <t>September 6, 1928</t>
  </si>
  <si>
    <t>San Zenon</t>
  </si>
  <si>
    <t>August 29, 1930</t>
  </si>
  <si>
    <t>Belize</t>
  </si>
  <si>
    <t>September 6, 1931</t>
  </si>
  <si>
    <t>Cuba</t>
  </si>
  <si>
    <t>October 30, 1932</t>
  </si>
  <si>
    <t>Central America</t>
  </si>
  <si>
    <t>June 4, 1934</t>
  </si>
  <si>
    <t>Jérémie</t>
  </si>
  <si>
    <t>October 18, 1935</t>
  </si>
  <si>
    <t>Flora</t>
  </si>
  <si>
    <t>September 26, 1963</t>
  </si>
  <si>
    <t>Fifi-Orlene</t>
  </si>
  <si>
    <t>September 14, 1974</t>
  </si>
  <si>
    <t>David</t>
  </si>
  <si>
    <t>August 25, 1979</t>
  </si>
  <si>
    <t>Gordon</t>
  </si>
  <si>
    <t>November 8, 1994</t>
  </si>
  <si>
    <t>Mitch</t>
  </si>
  <si>
    <t>October 22, 1998</t>
  </si>
  <si>
    <t>Jeanne</t>
  </si>
  <si>
    <t>September 13, 2004</t>
  </si>
  <si>
    <t>Katrina</t>
  </si>
  <si>
    <t>August 23, 2005</t>
  </si>
  <si>
    <t>Stan</t>
  </si>
  <si>
    <t>October 1, 2005</t>
  </si>
  <si>
    <t>Irma</t>
  </si>
  <si>
    <t>August 30,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</si>
</sst>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_-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</cellStyleXfs>
  <cellXfs count="7">
    <xf numFmtId="0" fontId="0" fillId="0" borderId="0" xfId="0"/>
    <xf numFmtId="0" fontId="3" fillId="0" borderId="1" xfId="3"/>
    <xf numFmtId="0" fontId="2" fillId="0" borderId="0" xfId="2"/>
    <xf numFmtId="164" fontId="0" fillId="0" borderId="0" xfId="1" applyFont="1"/>
    <xf numFmtId="0" fontId="0" fillId="0" borderId="0" xfId="0" applyAlignment="1">
      <alignment horizontal="left"/>
    </xf>
    <xf numFmtId="0" fontId="3" fillId="0" borderId="1" xfId="3" applyAlignment="1">
      <alignment wrapText="1"/>
    </xf>
    <xf numFmtId="0" fontId="0" fillId="0" borderId="0" xfId="0" applyAlignment="1">
      <alignment horizontal="right"/>
    </xf>
  </cellXfs>
  <cellStyles count="4">
    <cellStyle name="Comma [0]" xfId="1" builtinId="6"/>
    <cellStyle name="Heading 3" xfId="3" builtinId="18"/>
    <cellStyle name="Normal" xfId="0" builtinId="0"/>
    <cellStyle name="Title" xfId="2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10" Type="http://schemas.openxmlformats.org/officeDocument/2006/relationships/customXml" Target="../customXml/item4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DB6C0-8A4F-430D-8B7F-89F0B001046A}">
  <dimension ref="A1:I46"/>
  <sheetViews>
    <sheetView tabSelected="1" workbookViewId="0">
      <selection activeCell="F4" sqref="F4"/>
    </sheetView>
  </sheetViews>
  <sheetFormatPr defaultRowHeight="15"/>
  <cols>
    <col min="1" max="1" width="18.7109375" customWidth="1"/>
    <col min="2" max="2" width="22.42578125" bestFit="1" customWidth="1"/>
    <col min="3" max="3" width="9" bestFit="1" customWidth="1"/>
    <col min="4" max="4" width="9.85546875" bestFit="1" customWidth="1"/>
    <col min="5" max="5" width="12.5703125" bestFit="1" customWidth="1"/>
    <col min="6" max="6" width="17" bestFit="1" customWidth="1"/>
    <col min="7" max="7" width="12.5703125" bestFit="1" customWidth="1"/>
    <col min="8" max="8" width="24" bestFit="1" customWidth="1"/>
    <col min="9" max="9" width="26" bestFit="1" customWidth="1"/>
  </cols>
  <sheetData>
    <row r="1" spans="1:9" ht="23.25">
      <c r="A1" s="2" t="s">
        <v>0</v>
      </c>
    </row>
    <row r="3" spans="1:9" ht="44.25" customHeight="1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t="s">
        <v>6</v>
      </c>
      <c r="G3" t="s">
        <v>7</v>
      </c>
    </row>
    <row r="4" spans="1:9">
      <c r="A4" t="s">
        <v>8</v>
      </c>
      <c r="B4" t="s">
        <v>9</v>
      </c>
      <c r="C4" s="3">
        <v>12</v>
      </c>
      <c r="D4">
        <v>3</v>
      </c>
      <c r="E4" s="6" cm="1">
        <f t="array" ref="E4">_xlfn.SWITCH(D4, 1, 95, 2, 110, 3, 129, 4, 156, 5, "157 and over")</f>
        <v>129</v>
      </c>
      <c r="F4" cm="1">
        <f t="array" ref="F4">_xlfn.SWITCH(E4,$I$6,$H$6,$I$7,$H$7,$I$8,$H$8,$I$9,$H$9,$I$10,$H$10,"Unkown")</f>
        <v>3</v>
      </c>
      <c r="G4" cm="1">
        <f t="array" ref="G4">_xlfn.SWITCH(D4, $H$6,$I$6,$H$7,$I$7,$H$8,$I$8,$H$9,$I$9,$H$10,$I$10,"Unkown")</f>
        <v>129</v>
      </c>
      <c r="H4" t="s">
        <v>10</v>
      </c>
    </row>
    <row r="5" spans="1:9">
      <c r="A5" t="s">
        <v>11</v>
      </c>
      <c r="B5" t="s">
        <v>12</v>
      </c>
      <c r="C5" s="3">
        <v>1</v>
      </c>
      <c r="D5">
        <v>3</v>
      </c>
      <c r="E5" s="6" cm="1">
        <f t="array" ref="E5">_xlfn.SWITCH(D5, 1, 95, 2, 110, 3, 129, 4, 156, 5, "157 and over")</f>
        <v>129</v>
      </c>
      <c r="F5" cm="1">
        <f t="array" ref="F5">_xlfn.SWITCH(E5,$I$6,$H$6,$I$7,$H$7,$I$8,$H$8,$I$9,$H$9,$I$10,$H$10,"Unkown")</f>
        <v>3</v>
      </c>
      <c r="G5" cm="1">
        <f t="array" ref="G5">_xlfn.SWITCH(D5, $H$6,$I$6,$H$7,$I$7,$H$8,$I$8,$H$9,$I$9,$H$10,$I$10,"Unkown")</f>
        <v>129</v>
      </c>
      <c r="H5" s="1" t="s">
        <v>13</v>
      </c>
      <c r="I5" s="1" t="s">
        <v>14</v>
      </c>
    </row>
    <row r="6" spans="1:9">
      <c r="A6" t="s">
        <v>15</v>
      </c>
      <c r="B6" t="s">
        <v>16</v>
      </c>
      <c r="C6" s="3">
        <v>5</v>
      </c>
      <c r="D6">
        <v>4</v>
      </c>
      <c r="E6" s="6" cm="1">
        <f t="array" ref="E6">_xlfn.SWITCH(D6, 1, 95, 2, 110, 3, 129, 4, 156, 5, "157 and over")</f>
        <v>156</v>
      </c>
      <c r="F6" cm="1">
        <f t="array" ref="F6">_xlfn.SWITCH(E6,$I$6,$H$6,$I$7,$H$7,$I$8,$H$8,$I$9,$H$9,$I$10,$H$10,"Unkown")</f>
        <v>4</v>
      </c>
      <c r="G6" cm="1">
        <f t="array" ref="G6">_xlfn.SWITCH(D6, $H$6,$I$6,$H$7,$I$7,$H$8,$I$8,$H$9,$I$9,$H$10,$I$10,"Unkown")</f>
        <v>156</v>
      </c>
      <c r="H6">
        <v>5</v>
      </c>
      <c r="I6" t="s">
        <v>17</v>
      </c>
    </row>
    <row r="7" spans="1:9">
      <c r="A7" t="s">
        <v>18</v>
      </c>
      <c r="B7" t="s">
        <v>19</v>
      </c>
      <c r="C7" s="3">
        <v>20</v>
      </c>
      <c r="D7">
        <v>4</v>
      </c>
      <c r="E7" s="6" cm="1">
        <f t="array" ref="E7">_xlfn.SWITCH(D7, 1, 95, 2, 110, 3, 129, 4, 156, 5, "157 and over")</f>
        <v>156</v>
      </c>
      <c r="F7" cm="1">
        <f t="array" ref="F7">_xlfn.SWITCH(E7,$I$6,$H$6,$I$7,$H$7,$I$8,$H$8,$I$9,$H$9,$I$10,$H$10,"Unkown")</f>
        <v>4</v>
      </c>
      <c r="G7" cm="1">
        <f t="array" ref="G7">_xlfn.SWITCH(D7, $H$6,$I$6,$H$7,$I$7,$H$8,$I$8,$H$9,$I$9,$H$10,$I$10,"Unkown")</f>
        <v>156</v>
      </c>
      <c r="H7">
        <v>4</v>
      </c>
      <c r="I7" s="4">
        <v>156</v>
      </c>
    </row>
    <row r="8" spans="1:9">
      <c r="A8" t="s">
        <v>20</v>
      </c>
      <c r="B8" t="s">
        <v>21</v>
      </c>
      <c r="C8" s="3">
        <v>20</v>
      </c>
      <c r="D8">
        <v>4</v>
      </c>
      <c r="E8" s="6" cm="1">
        <f t="array" ref="E8">_xlfn.SWITCH(D8, 1, 95, 2, 110, 3, 129, 4, 156, 5, "157 and over")</f>
        <v>156</v>
      </c>
      <c r="F8" cm="1">
        <f t="array" ref="F8">_xlfn.SWITCH(E8,$I$6,$H$6,$I$7,$H$7,$I$8,$H$8,$I$9,$H$9,$I$10,$H$10,"Unkown")</f>
        <v>4</v>
      </c>
      <c r="G8" cm="1">
        <f t="array" ref="G8">_xlfn.SWITCH(D8, $H$6,$I$6,$H$7,$I$7,$H$8,$I$8,$H$9,$I$9,$H$10,$I$10,"Unkown")</f>
        <v>156</v>
      </c>
      <c r="H8">
        <v>3</v>
      </c>
      <c r="I8" s="4">
        <v>129</v>
      </c>
    </row>
    <row r="9" spans="1:9">
      <c r="A9" t="s">
        <v>22</v>
      </c>
      <c r="B9" t="s">
        <v>23</v>
      </c>
      <c r="C9" s="3">
        <v>50</v>
      </c>
      <c r="D9">
        <v>3</v>
      </c>
      <c r="E9" s="6" cm="1">
        <f t="array" ref="E9">_xlfn.SWITCH(D9, 1, 95, 2, 110, 3, 129, 4, 156, 5, "157 and over")</f>
        <v>129</v>
      </c>
      <c r="F9" cm="1">
        <f t="array" ref="F9">_xlfn.SWITCH(E9,$I$6,$H$6,$I$7,$H$7,$I$8,$H$8,$I$9,$H$9,$I$10,$H$10,"Unkown")</f>
        <v>3</v>
      </c>
      <c r="G9" cm="1">
        <f t="array" ref="G9">_xlfn.SWITCH(D9, $H$6,$I$6,$H$7,$I$7,$H$8,$I$8,$H$9,$I$9,$H$10,$I$10,"Unkown")</f>
        <v>129</v>
      </c>
      <c r="H9">
        <v>2</v>
      </c>
      <c r="I9" s="4">
        <v>110</v>
      </c>
    </row>
    <row r="10" spans="1:9">
      <c r="A10" t="s">
        <v>24</v>
      </c>
      <c r="B10" t="s">
        <v>25</v>
      </c>
      <c r="C10" s="3">
        <v>100</v>
      </c>
      <c r="D10">
        <v>5</v>
      </c>
      <c r="E10" s="6" t="str" cm="1">
        <f t="array" ref="E10">_xlfn.SWITCH(D10, 1, 95, 2, 110, 3, 129, 4, 156, 5, "157 and over")</f>
        <v>157 and over</v>
      </c>
      <c r="F10" cm="1">
        <f t="array" ref="F10">_xlfn.SWITCH(E10,$I$6,$H$6,$I$7,$H$7,$I$8,$H$8,$I$9,$H$9,$I$10,$H$10,"Unkown")</f>
        <v>5</v>
      </c>
      <c r="G10" t="str" cm="1">
        <f t="array" ref="G10">_xlfn.SWITCH(D10, $H$6,$I$6,$H$7,$I$7,$H$8,$I$8,$H$9,$I$9,$H$10,$I$10,"Unkown")</f>
        <v>157 and over</v>
      </c>
      <c r="H10">
        <v>1</v>
      </c>
      <c r="I10" s="4">
        <v>95</v>
      </c>
    </row>
    <row r="11" spans="1:9">
      <c r="A11" t="s">
        <v>26</v>
      </c>
      <c r="B11" t="s">
        <v>27</v>
      </c>
      <c r="C11" s="3">
        <v>50</v>
      </c>
      <c r="D11">
        <v>4</v>
      </c>
      <c r="E11" s="6" cm="1">
        <f t="array" ref="E11">_xlfn.SWITCH(D11, 1, 95, 2, 110, 3, 129, 4, 156, 5, "157 and over")</f>
        <v>156</v>
      </c>
      <c r="F11" cm="1">
        <f t="array" ref="F11">_xlfn.SWITCH(E11,$I$6,$H$6,$I$7,$H$7,$I$8,$H$8,$I$9,$H$9,$I$10,$H$10,"Unkown")</f>
        <v>4</v>
      </c>
      <c r="G11" cm="1">
        <f t="array" ref="G11">_xlfn.SWITCH(D11, $H$6,$I$6,$H$7,$I$7,$H$8,$I$8,$H$9,$I$9,$H$10,$I$10,"Unkown")</f>
        <v>156</v>
      </c>
    </row>
    <row r="12" spans="1:9">
      <c r="A12" t="s">
        <v>28</v>
      </c>
      <c r="B12" t="s">
        <v>29</v>
      </c>
      <c r="C12" s="3">
        <v>7.5</v>
      </c>
      <c r="D12">
        <v>4</v>
      </c>
      <c r="E12" s="6" cm="1">
        <f t="array" ref="E12">_xlfn.SWITCH(D12, 1, 95, 2, 110, 3, 129, 4, 156, 5, "157 and over")</f>
        <v>156</v>
      </c>
      <c r="F12" cm="1">
        <f t="array" ref="F12">_xlfn.SWITCH(E12,$I$6,$H$6,$I$7,$H$7,$I$8,$H$8,$I$9,$H$9,$I$10,$H$10,"Unkown")</f>
        <v>4</v>
      </c>
      <c r="G12" cm="1">
        <f t="array" ref="G12">_xlfn.SWITCH(D12, $H$6,$I$6,$H$7,$I$7,$H$8,$I$8,$H$9,$I$9,$H$10,$I$10,"Unkown")</f>
        <v>156</v>
      </c>
    </row>
    <row r="13" spans="1:9">
      <c r="A13" t="s">
        <v>30</v>
      </c>
      <c r="B13" t="s">
        <v>31</v>
      </c>
      <c r="C13" s="3">
        <v>40</v>
      </c>
      <c r="D13">
        <v>5</v>
      </c>
      <c r="E13" s="6" t="str" cm="1">
        <f t="array" ref="E13">_xlfn.SWITCH(D13, 1, 95, 2, 110, 3, 129, 4, 156, 5, "157 and over")</f>
        <v>157 and over</v>
      </c>
      <c r="F13" cm="1">
        <f t="array" ref="F13">_xlfn.SWITCH(E13,$I$6,$H$6,$I$7,$H$7,$I$8,$H$8,$I$9,$H$9,$I$10,$H$10,"Unkown")</f>
        <v>5</v>
      </c>
      <c r="G13" t="str" cm="1">
        <f t="array" ref="G13">_xlfn.SWITCH(D13, $H$6,$I$6,$H$7,$I$7,$H$8,$I$8,$H$9,$I$9,$H$10,$I$10,"Unkown")</f>
        <v>157 and over</v>
      </c>
    </row>
    <row r="14" spans="1:9">
      <c r="A14" t="s">
        <v>32</v>
      </c>
      <c r="B14" t="s">
        <v>33</v>
      </c>
      <c r="C14" s="3">
        <v>2.6</v>
      </c>
      <c r="D14">
        <v>2</v>
      </c>
      <c r="E14" s="6" cm="1">
        <f t="array" ref="E14">_xlfn.SWITCH(D14, 1, 95, 2, 110, 3, 129, 4, 156, 5, "157 and over")</f>
        <v>110</v>
      </c>
      <c r="F14" cm="1">
        <f t="array" ref="F14">_xlfn.SWITCH(E14,$I$6,$H$6,$I$7,$H$7,$I$8,$H$8,$I$9,$H$9,$I$10,$H$10,"Unkown")</f>
        <v>2</v>
      </c>
      <c r="G14" cm="1">
        <f t="array" ref="G14">_xlfn.SWITCH(D14, $H$6,$I$6,$H$7,$I$7,$H$8,$I$8,$H$9,$I$9,$H$10,$I$10,"Unkown")</f>
        <v>110</v>
      </c>
    </row>
    <row r="15" spans="1:9">
      <c r="A15" t="s">
        <v>34</v>
      </c>
      <c r="B15" t="s">
        <v>35</v>
      </c>
      <c r="C15" s="3">
        <v>16</v>
      </c>
      <c r="D15">
        <v>1</v>
      </c>
      <c r="E15" s="6" cm="1">
        <f t="array" ref="E15">_xlfn.SWITCH(D15, 1, 95, 2, 110, 3, 129, 4, 156, 5, "157 and over")</f>
        <v>95</v>
      </c>
      <c r="F15" cm="1">
        <f t="array" ref="F15">_xlfn.SWITCH(E15,$I$6,$H$6,$I$7,$H$7,$I$8,$H$8,$I$9,$H$9,$I$10,$H$10,"Unkown")</f>
        <v>1</v>
      </c>
      <c r="G15" cm="1">
        <f t="array" ref="G15">_xlfn.SWITCH(D15, $H$6,$I$6,$H$7,$I$7,$H$8,$I$8,$H$9,$I$9,$H$10,$I$10,"Unkown")</f>
        <v>95</v>
      </c>
    </row>
    <row r="16" spans="1:9">
      <c r="A16" t="s">
        <v>36</v>
      </c>
      <c r="B16" t="s">
        <v>37</v>
      </c>
      <c r="C16" s="3">
        <v>529</v>
      </c>
      <c r="D16">
        <v>4</v>
      </c>
      <c r="E16" s="6" cm="1">
        <f t="array" ref="E16">_xlfn.SWITCH(D16, 1, 95, 2, 110, 3, 129, 4, 156, 5, "157 and over")</f>
        <v>156</v>
      </c>
      <c r="F16" cm="1">
        <f t="array" ref="F16">_xlfn.SWITCH(E16,$I$6,$H$6,$I$7,$H$7,$I$8,$H$8,$I$9,$H$9,$I$10,$H$10,"Unkown")</f>
        <v>4</v>
      </c>
      <c r="G16" cm="1">
        <f t="array" ref="G16">_xlfn.SWITCH(D16, $H$6,$I$6,$H$7,$I$7,$H$8,$I$8,$H$9,$I$9,$H$10,$I$10,"Unkown")</f>
        <v>156</v>
      </c>
    </row>
    <row r="17" spans="1:7">
      <c r="A17" t="s">
        <v>38</v>
      </c>
      <c r="B17" t="s">
        <v>39</v>
      </c>
      <c r="C17" s="3">
        <v>1800</v>
      </c>
      <c r="D17">
        <v>2</v>
      </c>
      <c r="E17" s="6" cm="1">
        <f t="array" ref="E17">_xlfn.SWITCH(D17, 1, 95, 2, 110, 3, 129, 4, 156, 5, "157 and over")</f>
        <v>110</v>
      </c>
      <c r="F17" cm="1">
        <f t="array" ref="F17">_xlfn.SWITCH(E17,$I$6,$H$6,$I$7,$H$7,$I$8,$H$8,$I$9,$H$9,$I$10,$H$10,"Unkown")</f>
        <v>2</v>
      </c>
      <c r="G17" cm="1">
        <f t="array" ref="G17">_xlfn.SWITCH(D17, $H$6,$I$6,$H$7,$I$7,$H$8,$I$8,$H$9,$I$9,$H$10,$I$10,"Unkown")</f>
        <v>110</v>
      </c>
    </row>
    <row r="18" spans="1:7">
      <c r="A18" t="s">
        <v>40</v>
      </c>
      <c r="B18" t="s">
        <v>41</v>
      </c>
      <c r="C18" s="3">
        <v>1540</v>
      </c>
      <c r="D18">
        <v>5</v>
      </c>
      <c r="E18" s="6" t="str" cm="1">
        <f t="array" ref="E18">_xlfn.SWITCH(D18, 1, 95, 2, 110, 3, 129, 4, 156, 5, "157 and over")</f>
        <v>157 and over</v>
      </c>
      <c r="F18" cm="1">
        <f t="array" ref="F18">_xlfn.SWITCH(E18,$I$6,$H$6,$I$7,$H$7,$I$8,$H$8,$I$9,$H$9,$I$10,$H$10,"Unkown")</f>
        <v>5</v>
      </c>
      <c r="G18" t="str" cm="1">
        <f t="array" ref="G18">_xlfn.SWITCH(D18, $H$6,$I$6,$H$7,$I$7,$H$8,$I$8,$H$9,$I$9,$H$10,$I$10,"Unkown")</f>
        <v>157 and over</v>
      </c>
    </row>
    <row r="19" spans="1:7">
      <c r="A19" t="s">
        <v>42</v>
      </c>
      <c r="B19" t="s">
        <v>43</v>
      </c>
      <c r="C19" s="3">
        <v>594</v>
      </c>
      <c r="D19">
        <v>1</v>
      </c>
      <c r="E19" s="6" cm="1">
        <f t="array" ref="E19">_xlfn.SWITCH(D19, 1, 95, 2, 110, 3, 129, 4, 156, 5, "157 and over")</f>
        <v>95</v>
      </c>
      <c r="F19" cm="1">
        <f t="array" ref="F19">_xlfn.SWITCH(E19,$I$6,$H$6,$I$7,$H$7,$I$8,$H$8,$I$9,$H$9,$I$10,$H$10,"Unkown")</f>
        <v>1</v>
      </c>
      <c r="G19" cm="1">
        <f t="array" ref="G19">_xlfn.SWITCH(D19, $H$6,$I$6,$H$7,$I$7,$H$8,$I$8,$H$9,$I$9,$H$10,$I$10,"Unkown")</f>
        <v>95</v>
      </c>
    </row>
    <row r="20" spans="1:7">
      <c r="A20" t="s">
        <v>44</v>
      </c>
      <c r="B20" t="s">
        <v>45</v>
      </c>
      <c r="C20" s="3">
        <v>6200</v>
      </c>
      <c r="D20">
        <v>5</v>
      </c>
      <c r="E20" s="6" t="str" cm="1">
        <f t="array" ref="E20">_xlfn.SWITCH(D20, 1, 95, 2, 110, 3, 129, 4, 156, 5, "157 and over")</f>
        <v>157 and over</v>
      </c>
      <c r="F20" cm="1">
        <f t="array" ref="F20">_xlfn.SWITCH(E20,$I$6,$H$6,$I$7,$H$7,$I$8,$H$8,$I$9,$H$9,$I$10,$H$10,"Unkown")</f>
        <v>5</v>
      </c>
      <c r="G20" t="str" cm="1">
        <f t="array" ref="G20">_xlfn.SWITCH(D20, $H$6,$I$6,$H$7,$I$7,$H$8,$I$8,$H$9,$I$9,$H$10,$I$10,"Unkown")</f>
        <v>157 and over</v>
      </c>
    </row>
    <row r="21" spans="1:7">
      <c r="A21" t="s">
        <v>46</v>
      </c>
      <c r="B21" t="s">
        <v>47</v>
      </c>
      <c r="C21" s="3">
        <v>7660</v>
      </c>
      <c r="D21">
        <v>3</v>
      </c>
      <c r="E21" s="6" cm="1">
        <f t="array" ref="E21">_xlfn.SWITCH(D21, 1, 95, 2, 110, 3, 129, 4, 156, 5, "157 and over")</f>
        <v>129</v>
      </c>
      <c r="F21" cm="1">
        <f t="array" ref="F21">_xlfn.SWITCH(E21,$I$6,$H$6,$I$7,$H$7,$I$8,$H$8,$I$9,$H$9,$I$10,$H$10,"Unkown")</f>
        <v>3</v>
      </c>
      <c r="G21" cm="1">
        <f t="array" ref="G21">_xlfn.SWITCH(D21, $H$6,$I$6,$H$7,$I$7,$H$8,$I$8,$H$9,$I$9,$H$10,$I$10,"Unkown")</f>
        <v>129</v>
      </c>
    </row>
    <row r="22" spans="1:7">
      <c r="A22" t="s">
        <v>48</v>
      </c>
      <c r="B22" t="s">
        <v>49</v>
      </c>
      <c r="C22" s="3">
        <v>108000</v>
      </c>
      <c r="D22">
        <v>5</v>
      </c>
      <c r="E22" s="6" t="str" cm="1">
        <f t="array" ref="E22">_xlfn.SWITCH(D22, 1, 95, 2, 110, 3, 129, 4, 156, 5, "157 and over")</f>
        <v>157 and over</v>
      </c>
      <c r="F22" cm="1">
        <f t="array" ref="F22">_xlfn.SWITCH(E22,$I$6,$H$6,$I$7,$H$7,$I$8,$H$8,$I$9,$H$9,$I$10,$H$10,"Unkown")</f>
        <v>5</v>
      </c>
      <c r="G22" t="str" cm="1">
        <f t="array" ref="G22">_xlfn.SWITCH(D22, $H$6,$I$6,$H$7,$I$7,$H$8,$I$8,$H$9,$I$9,$H$10,$I$10,"Unkown")</f>
        <v>157 and over</v>
      </c>
    </row>
    <row r="23" spans="1:7">
      <c r="A23" t="s">
        <v>50</v>
      </c>
      <c r="B23" t="s">
        <v>51</v>
      </c>
      <c r="C23" s="3">
        <v>3960</v>
      </c>
      <c r="D23">
        <v>1</v>
      </c>
      <c r="E23" s="6" cm="1">
        <f t="array" ref="E23">_xlfn.SWITCH(D23, 1, 95, 2, 110, 3, 129, 4, 156, 5, "157 and over")</f>
        <v>95</v>
      </c>
      <c r="F23" cm="1">
        <f t="array" ref="F23">_xlfn.SWITCH(E23,$I$6,$H$6,$I$7,$H$7,$I$8,$H$8,$I$9,$H$9,$I$10,$H$10,"Unkown")</f>
        <v>1</v>
      </c>
      <c r="G23" cm="1">
        <f t="array" ref="G23">_xlfn.SWITCH(D23, $H$6,$I$6,$H$7,$I$7,$H$8,$I$8,$H$9,$I$9,$H$10,$I$10,"Unkown")</f>
        <v>95</v>
      </c>
    </row>
    <row r="24" spans="1:7">
      <c r="A24" t="s">
        <v>52</v>
      </c>
      <c r="B24" t="s">
        <v>53</v>
      </c>
      <c r="C24" s="3">
        <v>300000</v>
      </c>
      <c r="D24">
        <v>5</v>
      </c>
      <c r="E24" s="6" t="str" cm="1">
        <f t="array" ref="E24">_xlfn.SWITCH(D24, 1, 95, 2, 110, 3, 129, 4, 156, 5, "157 and over")</f>
        <v>157 and over</v>
      </c>
      <c r="F24" cm="1">
        <f t="array" ref="F24">_xlfn.SWITCH(E24,$I$6,$H$6,$I$7,$H$7,$I$8,$H$8,$I$9,$H$9,$I$10,$H$10,"Unkown")</f>
        <v>5</v>
      </c>
      <c r="G24" t="str" cm="1">
        <f t="array" ref="G24">_xlfn.SWITCH(D24, $H$6,$I$6,$H$7,$I$7,$H$8,$I$8,$H$9,$I$9,$H$10,$I$10,"Unkown")</f>
        <v>157 and over</v>
      </c>
    </row>
    <row r="25" spans="1:7">
      <c r="C25" s="3"/>
      <c r="F25" t="str" cm="1">
        <f t="array" ref="F25">_xlfn.SWITCH(E25,$I$6,$H$6,$I$7,$H$7,$I$8,$H$8,$I$9,$H$9,$I$10,$H$10,"Unkown")</f>
        <v>Unkown</v>
      </c>
      <c r="G25" t="str" cm="1">
        <f t="array" ref="G25">_xlfn.SWITCH(D25, $H$6,$I$6,$H$7,$I$7,$H$8,$I$8,$H$9,$I$9,$H$10,$I$10,"Unkown")</f>
        <v>Unkown</v>
      </c>
    </row>
    <row r="26" spans="1:7">
      <c r="C26" s="3"/>
      <c r="F26" t="str" cm="1">
        <f t="array" ref="F26">_xlfn.SWITCH(E26,$I$6,$H$6,$I$7,$H$7,$I$8,$H$8,$I$9,$H$9,$I$10,$H$10,"Unkown")</f>
        <v>Unkown</v>
      </c>
      <c r="G26" t="str" cm="1">
        <f t="array" ref="G26">_xlfn.SWITCH(D26, $H$6,$I$6,$H$7,$I$7,$H$8,$I$8,$H$9,$I$9,$H$10,$I$10,"Unkown")</f>
        <v>Unkown</v>
      </c>
    </row>
    <row r="27" spans="1:7">
      <c r="C27" s="3"/>
      <c r="F27" t="str" cm="1">
        <f t="array" ref="F27">_xlfn.SWITCH(E27,$I$6,$H$6,$I$7,$H$7,$I$8,$H$8,$I$9,$H$9,$I$10,$H$10,"Unkown")</f>
        <v>Unkown</v>
      </c>
      <c r="G27" t="str" cm="1">
        <f t="array" ref="G27">_xlfn.SWITCH(D27, $H$6,$I$6,$H$7,$I$7,$H$8,$I$8,$H$9,$I$9,$H$10,$I$10,"Unkown")</f>
        <v>Unkown</v>
      </c>
    </row>
    <row r="28" spans="1:7">
      <c r="C28" s="3"/>
    </row>
    <row r="29" spans="1:7">
      <c r="C29" s="3"/>
    </row>
    <row r="30" spans="1:7">
      <c r="C30" s="3"/>
    </row>
    <row r="31" spans="1:7">
      <c r="C31" s="3"/>
    </row>
    <row r="32" spans="1:7">
      <c r="C32" s="3"/>
    </row>
    <row r="33" spans="3:3">
      <c r="C33" s="3"/>
    </row>
    <row r="34" spans="3:3">
      <c r="C34" s="3"/>
    </row>
    <row r="35" spans="3:3">
      <c r="C35" s="3"/>
    </row>
    <row r="36" spans="3:3">
      <c r="C36" s="3"/>
    </row>
    <row r="37" spans="3:3">
      <c r="C37" s="3"/>
    </row>
    <row r="38" spans="3:3">
      <c r="C38" s="3"/>
    </row>
    <row r="39" spans="3:3">
      <c r="C39" s="3"/>
    </row>
    <row r="40" spans="3:3">
      <c r="C40" s="3"/>
    </row>
    <row r="41" spans="3:3">
      <c r="C41" s="3"/>
    </row>
    <row r="42" spans="3:3">
      <c r="C42" s="3"/>
    </row>
    <row r="43" spans="3:3">
      <c r="C43" s="3"/>
    </row>
    <row r="44" spans="3:3">
      <c r="C44" s="3"/>
    </row>
    <row r="45" spans="3:3">
      <c r="C45" s="3"/>
    </row>
    <row r="46" spans="3:3">
      <c r="C46" s="3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5C50F0018BBD47816E06D2B98EA9EA" ma:contentTypeVersion="4" ma:contentTypeDescription="Create a new document." ma:contentTypeScope="" ma:versionID="303820eb0432ff205db77ad2a6e1e4e0">
  <xsd:schema xmlns:xsd="http://www.w3.org/2001/XMLSchema" xmlns:xs="http://www.w3.org/2001/XMLSchema" xmlns:p="http://schemas.microsoft.com/office/2006/metadata/properties" xmlns:ns2="0c63ab6d-8cd2-4bbf-8f8d-e6fc5536eb39" targetNamespace="http://schemas.microsoft.com/office/2006/metadata/properties" ma:root="true" ma:fieldsID="a32387af7ee3fa3d95680eb2c257a497" ns2:_="">
    <xsd:import namespace="0c63ab6d-8cd2-4bbf-8f8d-e6fc5536eb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3ab6d-8cd2-4bbf-8f8d-e6fc5536eb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CED2CD7-AB5E-404D-849A-F793ABBC6F67}"/>
</file>

<file path=customXml/itemProps2.xml><?xml version="1.0" encoding="utf-8"?>
<ds:datastoreItem xmlns:ds="http://schemas.openxmlformats.org/officeDocument/2006/customXml" ds:itemID="{FF1056E9-45E7-4EE1-B8ED-748AFD02223F}"/>
</file>

<file path=customXml/itemProps3.xml><?xml version="1.0" encoding="utf-8"?>
<ds:datastoreItem xmlns:ds="http://schemas.openxmlformats.org/officeDocument/2006/customXml" ds:itemID="{3D4E24B2-8FB1-41D6-A0B3-EA0C5EC943D2}"/>
</file>

<file path=customXml/itemProps4.xml><?xml version="1.0" encoding="utf-8"?>
<ds:datastoreItem xmlns:ds="http://schemas.openxmlformats.org/officeDocument/2006/customXml" ds:itemID="{00DA10D2-1FFF-490D-B4DA-8729470684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Smart</dc:creator>
  <cp:keywords/>
  <dc:description/>
  <cp:lastModifiedBy>Jenny Guo</cp:lastModifiedBy>
  <cp:revision/>
  <dcterms:created xsi:type="dcterms:W3CDTF">2017-10-17T14:59:20Z</dcterms:created>
  <dcterms:modified xsi:type="dcterms:W3CDTF">2025-10-09T09:04:22Z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0x010100D431785D0CB87A4C8168CC6C104FEA4A</vt:lpwstr>
  </property>
</Properties>
</file>